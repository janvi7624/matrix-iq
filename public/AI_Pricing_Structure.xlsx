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NANTA\Documents\Ntra\"/>
    </mc:Choice>
  </mc:AlternateContent>
  <xr:revisionPtr revIDLastSave="0" documentId="13_ncr:1_{3EBDA42B-0CD1-4FC1-AF92-DB3AD6DF1D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tr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3" i="1" l="1"/>
  <c r="H16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F5" i="1"/>
  <c r="D13" i="1"/>
  <c r="D14" i="1"/>
  <c r="D15" i="1"/>
  <c r="D16" i="1"/>
  <c r="D17" i="1"/>
  <c r="D18" i="1"/>
  <c r="D19" i="1"/>
  <c r="D21" i="1"/>
  <c r="D22" i="1"/>
  <c r="D23" i="1"/>
  <c r="D24" i="1"/>
  <c r="D25" i="1"/>
  <c r="D26" i="1"/>
  <c r="D27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5" i="1"/>
  <c r="D46" i="1"/>
  <c r="D47" i="1"/>
  <c r="D48" i="1"/>
  <c r="D49" i="1"/>
  <c r="D50" i="1"/>
  <c r="D51" i="1"/>
  <c r="D53" i="1"/>
  <c r="D6" i="1"/>
  <c r="D7" i="1"/>
  <c r="D8" i="1"/>
  <c r="D9" i="1"/>
  <c r="D10" i="1"/>
  <c r="D11" i="1"/>
  <c r="D5" i="1"/>
  <c r="J69" i="1"/>
  <c r="I69" i="1"/>
  <c r="H69" i="1"/>
  <c r="G69" i="1"/>
  <c r="E69" i="1"/>
  <c r="K69" i="1" s="1"/>
  <c r="J68" i="1"/>
  <c r="I68" i="1"/>
  <c r="H68" i="1"/>
  <c r="G68" i="1"/>
  <c r="E68" i="1"/>
  <c r="K68" i="1" s="1"/>
  <c r="K67" i="1"/>
  <c r="J67" i="1"/>
  <c r="I67" i="1"/>
  <c r="H67" i="1"/>
  <c r="G67" i="1"/>
  <c r="E67" i="1"/>
  <c r="J66" i="1"/>
  <c r="I66" i="1"/>
  <c r="H66" i="1"/>
  <c r="G66" i="1"/>
  <c r="E66" i="1"/>
  <c r="K66" i="1" s="1"/>
  <c r="K65" i="1"/>
  <c r="J65" i="1"/>
  <c r="I65" i="1"/>
  <c r="H65" i="1"/>
  <c r="G65" i="1"/>
  <c r="E65" i="1"/>
  <c r="J64" i="1"/>
  <c r="I64" i="1"/>
  <c r="H64" i="1"/>
  <c r="G64" i="1"/>
  <c r="E64" i="1"/>
  <c r="K64" i="1" s="1"/>
  <c r="K63" i="1"/>
  <c r="J63" i="1"/>
  <c r="I63" i="1"/>
  <c r="H63" i="1"/>
  <c r="F87" i="1" s="1"/>
  <c r="F88" i="1" s="1"/>
  <c r="G63" i="1"/>
  <c r="E63" i="1"/>
  <c r="J62" i="1"/>
  <c r="I62" i="1"/>
  <c r="H62" i="1"/>
  <c r="G62" i="1"/>
  <c r="E62" i="1"/>
  <c r="K62" i="1" s="1"/>
  <c r="F90" i="1" l="1"/>
  <c r="F91" i="1" l="1"/>
  <c r="F92" i="1" s="1"/>
</calcChain>
</file>

<file path=xl/sharedStrings.xml><?xml version="1.0" encoding="utf-8"?>
<sst xmlns="http://schemas.openxmlformats.org/spreadsheetml/2006/main" count="181" uniqueCount="172">
  <si>
    <t>NANTA TECH  —  AI VIDEO ANALYTICS (VMS)  —  PER-ANALYTICS LICENSE PRICING</t>
  </si>
  <si>
    <t>Region: Gujarat / West India     •     Currency: ₹ INR     •     Basis: Per Camera / Year     •     FY 2025–26</t>
  </si>
  <si>
    <t>À-la-carte list price — pick any analytics individually.   Prices EXCLUSIVE of 18% GST.   Volume slab = total cameras in the order.   Bundles on Sheet 2.</t>
  </si>
  <si>
    <t>Category</t>
  </si>
  <si>
    <t>Analytics Feature</t>
  </si>
  <si>
    <t>List Price
(₹/cam/yr)</t>
  </si>
  <si>
    <t>1–25
Cameras</t>
  </si>
  <si>
    <t>26–60
Cameras</t>
  </si>
  <si>
    <t>61–100
Cameras</t>
  </si>
  <si>
    <t>101–500
Cameras</t>
  </si>
  <si>
    <t>500+
Cameras</t>
  </si>
  <si>
    <t>Description</t>
  </si>
  <si>
    <t>Basic</t>
  </si>
  <si>
    <t>People Count</t>
  </si>
  <si>
    <t>Counts the number of people entering, exiting, or present in an area.</t>
  </si>
  <si>
    <t>Crowd Count</t>
  </si>
  <si>
    <t>Estimates crowd density and monitors overcrowding situations.</t>
  </si>
  <si>
    <t>Person Tracking</t>
  </si>
  <si>
    <t>Tracks a person's movement across one or multiple camera views.</t>
  </si>
  <si>
    <t>Object Detection</t>
  </si>
  <si>
    <t>Detects and identifies predefined objects in the camera view.</t>
  </si>
  <si>
    <t>Vehicle Count</t>
  </si>
  <si>
    <t>Counts vehicles entering, exiting, or passing through a location.</t>
  </si>
  <si>
    <t>Camera Tampering</t>
  </si>
  <si>
    <t>Detects camera obstruction, movement, defocus, or tampering attempts.</t>
  </si>
  <si>
    <t>Footfall Analytics</t>
  </si>
  <si>
    <t>Measures visitor traffic patterns and peak activity periods.</t>
  </si>
  <si>
    <t>Security</t>
  </si>
  <si>
    <t>Intrusion Detection</t>
  </si>
  <si>
    <t>Detects unauthorized entry into restricted or protected zones.</t>
  </si>
  <si>
    <t>Loitering Detection</t>
  </si>
  <si>
    <t>Identifies individuals staying in a designated area longer than allowed.</t>
  </si>
  <si>
    <t>Unattended Object</t>
  </si>
  <si>
    <t>Detects bags, packages, or objects left unattended for a specified time.</t>
  </si>
  <si>
    <t>Person Collapse</t>
  </si>
  <si>
    <t>Detects a person falling, collapsing, or remaining motionless on the ground.</t>
  </si>
  <si>
    <t>Fight Detection</t>
  </si>
  <si>
    <t>Identifies physical altercations and aggressive human behavior.</t>
  </si>
  <si>
    <t>Theft Detection</t>
  </si>
  <si>
    <t>Detects suspicious object removal or potential theft activities.</t>
  </si>
  <si>
    <t>Violence Detection</t>
  </si>
  <si>
    <t>Recognizes violent actions and abnormal aggressive behavior.</t>
  </si>
  <si>
    <t>Weapon Detection</t>
  </si>
  <si>
    <t>Detects visible weapons such as guns, knives, or other dangerous objects.</t>
  </si>
  <si>
    <t>Riot Detection</t>
  </si>
  <si>
    <t>Identifies crowd aggression, unrest, and large-scale disturbances.</t>
  </si>
  <si>
    <t>Stone Pelting</t>
  </si>
  <si>
    <t>Detects stone-throwing or projectile-based violent activities.</t>
  </si>
  <si>
    <t>Face</t>
  </si>
  <si>
    <t>Face Recognition</t>
  </si>
  <si>
    <t>Identifies and matches faces against registered databases or watchlists.</t>
  </si>
  <si>
    <t>Face Search</t>
  </si>
  <si>
    <t>Searches and locates specific individuals from recorded video footage.</t>
  </si>
  <si>
    <t>Searchable Attributes</t>
  </si>
  <si>
    <t>Searches people using attributes such as age, gender, clothing, or accessories.</t>
  </si>
  <si>
    <t>No Face Mask</t>
  </si>
  <si>
    <t>Detects individuals not wearing face masks in monitored areas.</t>
  </si>
  <si>
    <t>Emotion Detection</t>
  </si>
  <si>
    <t>Analyzes facial expressions to identify emotional states.</t>
  </si>
  <si>
    <t>Vehicle</t>
  </si>
  <si>
    <t>ANPR</t>
  </si>
  <si>
    <t>Automatically captures and recognizes vehicle license plate numbers.</t>
  </si>
  <si>
    <t>Vehicle Make/Model</t>
  </si>
  <si>
    <t>Identifies vehicle make, model, and color information.</t>
  </si>
  <si>
    <t>Speed Detection</t>
  </si>
  <si>
    <t>Estimates and monitors vehicle speed in real time.</t>
  </si>
  <si>
    <t>Wrong Parking</t>
  </si>
  <si>
    <t>Detects vehicles parked in unauthorized or restricted locations.</t>
  </si>
  <si>
    <t>No Helmet</t>
  </si>
  <si>
    <t>Detects two-wheeler riders not wearing helmets.</t>
  </si>
  <si>
    <t>Triple Rider</t>
  </si>
  <si>
    <t>Detects more than two riders on a two-wheeler.</t>
  </si>
  <si>
    <t>No Seatbelt</t>
  </si>
  <si>
    <t>Detects drivers or passengers not wearing seatbelts.</t>
  </si>
  <si>
    <t>Mobile While Driving</t>
  </si>
  <si>
    <t>Detects drivers using mobile phones while driving.</t>
  </si>
  <si>
    <t>RLVD</t>
  </si>
  <si>
    <t>Detects vehicles violating red traffic signals.</t>
  </si>
  <si>
    <t>Parking Management</t>
  </si>
  <si>
    <t>Monitors parking occupancy and available parking spaces.</t>
  </si>
  <si>
    <t>Congestion Detection</t>
  </si>
  <si>
    <t>Detects traffic congestion and abnormal vehicle density.</t>
  </si>
  <si>
    <t>Industrial / Safety</t>
  </si>
  <si>
    <t>Fire &amp; Smoke</t>
  </si>
  <si>
    <t>Detects early signs of fire and smoke for rapid response.</t>
  </si>
  <si>
    <t>PPE Detection</t>
  </si>
  <si>
    <t>Detects whether workers are wearing required safety equipment such as helmets, vests, and gloves.</t>
  </si>
  <si>
    <t>Vandalism Detection</t>
  </si>
  <si>
    <t>Detects deliberate damage or destruction of property and assets.</t>
  </si>
  <si>
    <t>Garbage Detection</t>
  </si>
  <si>
    <t>Identifies garbage accumulation in unauthorized locations.</t>
  </si>
  <si>
    <t>Inventory Detection</t>
  </si>
  <si>
    <t>Monitors stock levels and detects missing or low inventory.</t>
  </si>
  <si>
    <t>Customer Footfall &amp; Dwell Time</t>
  </si>
  <si>
    <t>Measures customer visits and the time spent in specific areas.</t>
  </si>
  <si>
    <t>Person Gaze to Advertisement</t>
  </si>
  <si>
    <t>Measures customer attention toward advertisements or displays.</t>
  </si>
  <si>
    <t>Proximity to Advertisement</t>
  </si>
  <si>
    <t>Tracks how closely customers approach promotional displays.</t>
  </si>
  <si>
    <t>Accident Detection</t>
  </si>
  <si>
    <t>Detects vehicle collisions and road accidents in real time.</t>
  </si>
  <si>
    <t>Social Distancing</t>
  </si>
  <si>
    <t>Monitors and measures compliance with social distancing guidelines.</t>
  </si>
  <si>
    <t>Lone Woman Detection</t>
  </si>
  <si>
    <t>Identifies a woman alone in a monitored area for enhanced safety monitoring.</t>
  </si>
  <si>
    <t>Woman Surrounded By Men</t>
  </si>
  <si>
    <t>Detects situations where a woman is surrounded by multiple individuals.</t>
  </si>
  <si>
    <t>Human/Animal/Vehicle Classification</t>
  </si>
  <si>
    <t>Classifies detected objects as humans, animals, or vehicles.</t>
  </si>
  <si>
    <t>Graffiti Detection</t>
  </si>
  <si>
    <t>Detects unauthorized writing, painting, or markings on property.</t>
  </si>
  <si>
    <t>Person Climbing Barricade</t>
  </si>
  <si>
    <t>Detects individuals attempting to cross fences, walls, or barricades.</t>
  </si>
  <si>
    <t>Person Waving</t>
  </si>
  <si>
    <t>Detects waving gestures that may indicate requests for attention or assistance.</t>
  </si>
  <si>
    <t>NANTA TECH  —  AI VIDEO ANALYTICS (VMS)  —  BUNDLE PRICING</t>
  </si>
  <si>
    <t>All prices EXCLUSIVE of 18% GST     •     Quote validity: 30 days     •     Version 2.0     •     Internal — Sales Use</t>
  </si>
  <si>
    <t>A.  BUNDLE PRICING — PER CAMERA / YEAR  (VOLUME SLAB-WISE)</t>
  </si>
  <si>
    <t>Sr</t>
  </si>
  <si>
    <t>Package</t>
  </si>
  <si>
    <t>Included AI Analytics</t>
  </si>
  <si>
    <t>No. of
Analytics</t>
  </si>
  <si>
    <t xml:space="preserve">
Value (₹/cam/yr)</t>
  </si>
  <si>
    <t>Best Savings
vs À-la-carte</t>
  </si>
  <si>
    <t>Basic Surveillance</t>
  </si>
  <si>
    <t>People Count, Object Detection, Camera Tampering</t>
  </si>
  <si>
    <t>Advanced Security</t>
  </si>
  <si>
    <t>People Count, Object Detection, Camera Tampering, Intrusion, Loitering, Unattended Object, Fight Detection, Fire &amp; Smoke</t>
  </si>
  <si>
    <t>Vehicle &amp; Traffic</t>
  </si>
  <si>
    <t>ANPR, Vehicle Count, Speed Detection, Wrong Parking, No Helmet, Triple Rider, No Seatbelt</t>
  </si>
  <si>
    <t>Face Recognition, Face Search, People Count</t>
  </si>
  <si>
    <t>Industrial &amp; Worker Safety</t>
  </si>
  <si>
    <t>PPE Detection, Fire &amp; Smoke, Intrusion Detection, Person Collapse, Unattended Object, Camera Tampering</t>
  </si>
  <si>
    <t>Retail &amp; Footfall Analytics</t>
  </si>
  <si>
    <t>People Count, Footfall Analytics, Customer Footfall &amp; Dwell Time, Crowd Count, Person Gaze to Advertisement</t>
  </si>
  <si>
    <t>Women &amp; Public Safety</t>
  </si>
  <si>
    <t>Lone Woman Detection, Woman Surrounded by Men, Violence Detection, Person Collapse, Crowd Count</t>
  </si>
  <si>
    <t>Smart City / Enterprise (All Analytics)</t>
  </si>
  <si>
    <t>All 49 analytics across Basic, Security, Face, Vehicle &amp; Industrial/Safety categories</t>
  </si>
  <si>
    <t>Volume Discount Applied  →  (editable assumptions)</t>
  </si>
  <si>
    <t>Note: 'À-la-carte Value' auto-links to the 'Factor wise' sheet (sum of the same analytics if bought separately). Bundle slab prices = 1–25 base × (1 − volume discount). Bundles already include the volume discount — they are the recommended commercial offer.</t>
  </si>
  <si>
    <t>B.  ONE-TIME SETUP COST  —  (BY DEPLOYMENT SIZE)</t>
  </si>
  <si>
    <t>Deployment Size</t>
  </si>
  <si>
    <t>One-Time Setup Cost  —  Deployment &amp; Integration + Installation &amp; Training   (Nanta VMS dashboard included — NO separate platform license)</t>
  </si>
  <si>
    <t>1–25 Cameras</t>
  </si>
  <si>
    <t>26–60 Cameras</t>
  </si>
  <si>
    <t>61–100 Cameras</t>
  </si>
  <si>
    <t>101–500 Cameras</t>
  </si>
  <si>
    <t>500+ Cameras</t>
  </si>
  <si>
    <t>IMPORTANT — The Nanta VMS dashboard is our own product and is INCLUDED at no separate license cost. The figure above is a minimal one-time setup charge covering integration with existing cameras/NVR, configuration, installation and training only. On-premise HARDWARE (servers, GPU, storage, cameras, networking, racks, UPS) is quoted SEPARATELY based on site sizing. Final setup figure confirmed after site survey. GST 18% extra.</t>
  </si>
  <si>
    <t>D.  SAMPLE COMMERCIAL — WORKED EXAMPLE  (100 cameras, Advanced Security bundle)</t>
  </si>
  <si>
    <t>No. of Cameras</t>
  </si>
  <si>
    <t>Bundle Selected</t>
  </si>
  <si>
    <t>Applicable Volume Slab</t>
  </si>
  <si>
    <t>Bundle Price (₹/cam/yr)</t>
  </si>
  <si>
    <t>Annual Analytics Subscription</t>
  </si>
  <si>
    <t>One-Time Setup (61–100)</t>
  </si>
  <si>
    <t>Year-1 Total (before GST)</t>
  </si>
  <si>
    <t>GST @ 18%</t>
  </si>
  <si>
    <t>Year-1 Total (incl. GST)</t>
  </si>
  <si>
    <t>Year-2 Onward (Subscription + optional AMC, before GST)</t>
  </si>
  <si>
    <t>E.  SALES &amp; QUOTING GUIDELINES</t>
  </si>
  <si>
    <t>•  All prices are EXCLUSIVE of GST (currently 18%). Always quote GST as a separate line.</t>
  </si>
  <si>
    <t>•  Basis: Analytics = Per Camera / Year (recurring). Dashboard &amp; setup = One-Time. AMC applies from Year 2.</t>
  </si>
  <si>
    <t>•  Volume slab is decided by the TOTAL cameras in the order (across all sites), not per site.</t>
  </si>
  <si>
    <t>•  Bundle prices already include the volume discount — do NOT stack additional discounts without approval.</t>
  </si>
  <si>
    <t>•  Discount authority:  up to 5% → Sales Executive   •   5–10% → Sales Manager   •   &gt;10% → Management.</t>
  </si>
  <si>
    <t>•  Floor price: never quote below the 500+ slab rate of a bundle for any deal.</t>
  </si>
  <si>
    <t>•  Mix &amp; match: if a client needs analytics across bundles, quote the nearest bundle + add à-la-carte features from the “Factor wise” sheet.</t>
  </si>
  <si>
    <t>•  Quote validity: 30 days. Benchmarked for Gujarat / West India, FY 2025–26. Update yearly.</t>
  </si>
  <si>
    <t>•  On-premise hardware (servers, GPU, storage, cameras, networking) is quoted SEPARATELY and is not part of the prices above.</t>
  </si>
  <si>
    <t>Legend:  Blue = editable input   |   Green = auto-linked from another sheet   |   Black = calculated formula   |   Yellow = key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</si>
</sst>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&gt;=10000000]\₹##\,##\,##\,##0;[&gt;=100000]\₹##\,##\,##0;\₹##,##0"/>
  </numFmts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b/>
      <sz val="10"/>
      <color rgb="FFFFFFFF"/>
      <name val="Calibri"/>
      <charset val="1"/>
    </font>
    <font>
      <i/>
      <sz val="9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9"/>
      <color rgb="FF404040"/>
      <name val="Calibri"/>
      <charset val="1"/>
    </font>
    <font>
      <sz val="9"/>
      <color rgb="FF000000"/>
      <name val="Calibri"/>
      <charset val="1"/>
    </font>
    <font>
      <sz val="10"/>
      <color rgb="FF008000"/>
      <name val="Calibri"/>
      <charset val="1"/>
    </font>
    <font>
      <b/>
      <sz val="10"/>
      <color rgb="FF0000FF"/>
      <name val="Calibri"/>
      <charset val="1"/>
    </font>
    <font>
      <b/>
      <sz val="10"/>
      <color rgb="FFC00000"/>
      <name val="Calibri"/>
      <charset val="1"/>
    </font>
    <font>
      <b/>
      <i/>
      <sz val="9"/>
      <color rgb="FF000000"/>
      <name val="Calibri"/>
      <charset val="1"/>
    </font>
    <font>
      <i/>
      <sz val="9"/>
      <color rgb="FF000000"/>
      <name val="Calibri"/>
      <charset val="1"/>
    </font>
    <font>
      <b/>
      <sz val="12"/>
      <color rgb="FF0000FF"/>
      <name val="Calibri"/>
      <charset val="1"/>
    </font>
    <font>
      <b/>
      <i/>
      <sz val="9"/>
      <color rgb="FFC00000"/>
      <name val="Calibri"/>
      <charset val="1"/>
    </font>
    <font>
      <i/>
      <sz val="9"/>
      <color rgb="FF595959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305496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2F5FB"/>
        <bgColor rgb="FFFFFFFF"/>
      </patternFill>
    </fill>
    <fill>
      <patternFill patternType="solid">
        <fgColor rgb="FFFFFFFF"/>
        <bgColor rgb="FFF2F5FB"/>
      </patternFill>
    </fill>
    <fill>
      <patternFill patternType="solid">
        <fgColor rgb="FFB03A2E"/>
        <bgColor rgb="FF993366"/>
      </patternFill>
    </fill>
    <fill>
      <patternFill patternType="solid">
        <fgColor rgb="FF6F4E7C"/>
        <bgColor rgb="FF595959"/>
      </patternFill>
    </fill>
    <fill>
      <patternFill patternType="solid">
        <fgColor rgb="FF1E8449"/>
        <bgColor rgb="FF008080"/>
      </patternFill>
    </fill>
    <fill>
      <patternFill patternType="solid">
        <fgColor rgb="FFB9770E"/>
        <bgColor rgb="FFFF6600"/>
      </patternFill>
    </fill>
    <fill>
      <patternFill patternType="solid">
        <fgColor rgb="FF305496"/>
        <bgColor rgb="FF2E5496"/>
      </patternFill>
    </fill>
    <fill>
      <patternFill patternType="solid">
        <fgColor rgb="FFE7E6E6"/>
        <bgColor rgb="FFF2F5FB"/>
      </patternFill>
    </fill>
    <fill>
      <patternFill patternType="solid">
        <fgColor rgb="FFFFF2CC"/>
        <bgColor rgb="FFF2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9" fontId="11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164" fontId="9" fillId="7" borderId="1" xfId="0" applyNumberFormat="1" applyFont="1" applyFill="1" applyBorder="1" applyAlignment="1">
      <alignment horizontal="right" vertical="center"/>
    </xf>
    <xf numFmtId="164" fontId="10" fillId="7" borderId="1" xfId="0" applyNumberFormat="1" applyFont="1" applyFill="1" applyBorder="1" applyAlignment="1">
      <alignment horizontal="right" vertical="center"/>
    </xf>
    <xf numFmtId="9" fontId="11" fillId="7" borderId="1" xfId="0" applyNumberFormat="1" applyFont="1" applyFill="1" applyBorder="1" applyAlignment="1">
      <alignment horizontal="center" vertical="center" wrapText="1"/>
    </xf>
    <xf numFmtId="9" fontId="10" fillId="14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/>
    <xf numFmtId="0" fontId="8" fillId="7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16" fillId="7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0" fontId="4" fillId="12" borderId="0" xfId="0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right" vertical="center"/>
    </xf>
    <xf numFmtId="164" fontId="10" fillId="7" borderId="1" xfId="0" applyNumberFormat="1" applyFont="1" applyFill="1" applyBorder="1" applyAlignment="1">
      <alignment horizontal="right" vertical="center"/>
    </xf>
    <xf numFmtId="1" fontId="10" fillId="6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indent="1"/>
    </xf>
    <xf numFmtId="6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indent="1"/>
    </xf>
    <xf numFmtId="6" fontId="14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2" fillId="13" borderId="1" xfId="0" applyFont="1" applyFill="1" applyBorder="1" applyAlignment="1">
      <alignment horizontal="right" vertical="center"/>
    </xf>
    <xf numFmtId="0" fontId="13" fillId="7" borderId="0" xfId="0" applyFont="1" applyFill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2E5496"/>
      <rgbColor rgb="FFBFBFBF"/>
      <rgbColor rgb="FF595959"/>
      <rgbColor rgb="FF9999FF"/>
      <rgbColor rgb="FF993366"/>
      <rgbColor rgb="FFFFF2CC"/>
      <rgbColor rgb="FFF2F5FB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F4E7C"/>
      <rgbColor rgb="FF969696"/>
      <rgbColor rgb="FF1F3864"/>
      <rgbColor rgb="FF1E8449"/>
      <rgbColor rgb="FF003300"/>
      <rgbColor rgb="FF333300"/>
      <rgbColor rgb="FFB03A2E"/>
      <rgbColor rgb="FF993366"/>
      <rgbColor rgb="FF30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showGridLines="0" tabSelected="1" zoomScaleNormal="100" workbookViewId="0">
      <pane ySplit="4" topLeftCell="A5" activePane="bottomLeft" state="frozen"/>
      <selection pane="bottomLeft" activeCell="F93" sqref="F93:G93"/>
    </sheetView>
  </sheetViews>
  <sheetFormatPr defaultColWidth="8.6640625" defaultRowHeight="14.4" x14ac:dyDescent="0.3"/>
  <cols>
    <col min="1" max="1" width="17" customWidth="1"/>
    <col min="2" max="2" width="27" customWidth="1"/>
    <col min="3" max="3" width="44.5546875" bestFit="1" customWidth="1"/>
    <col min="4" max="8" width="13" customWidth="1"/>
    <col min="9" max="9" width="52" customWidth="1"/>
  </cols>
  <sheetData>
    <row r="1" spans="1:9" ht="30" customHeight="1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</row>
    <row r="2" spans="1:9" ht="18" customHeight="1" x14ac:dyDescent="0.3">
      <c r="A2" s="53" t="s">
        <v>1</v>
      </c>
      <c r="B2" s="53"/>
      <c r="C2" s="53"/>
      <c r="D2" s="53"/>
      <c r="E2" s="53"/>
      <c r="F2" s="53"/>
      <c r="G2" s="53"/>
      <c r="H2" s="53"/>
      <c r="I2" s="53"/>
    </row>
    <row r="3" spans="1:9" ht="18" customHeight="1" x14ac:dyDescent="0.3">
      <c r="A3" s="46" t="s">
        <v>2</v>
      </c>
      <c r="B3" s="46"/>
      <c r="C3" s="46"/>
      <c r="D3" s="46"/>
      <c r="E3" s="46"/>
      <c r="F3" s="46"/>
      <c r="G3" s="46"/>
      <c r="H3" s="46"/>
      <c r="I3" s="46"/>
    </row>
    <row r="4" spans="1:9" ht="31.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7.75" customHeight="1" x14ac:dyDescent="0.3">
      <c r="A5" s="54" t="s">
        <v>12</v>
      </c>
      <c r="B5" s="2" t="s">
        <v>13</v>
      </c>
      <c r="C5" s="3">
        <v>7000</v>
      </c>
      <c r="D5" s="4">
        <f>C5</f>
        <v>7000</v>
      </c>
      <c r="E5" s="4">
        <f>C5*0.9</f>
        <v>6300</v>
      </c>
      <c r="F5" s="4">
        <f>C5*0.8</f>
        <v>5600</v>
      </c>
      <c r="G5" s="4">
        <f>C5*0.7</f>
        <v>4900</v>
      </c>
      <c r="H5" s="4">
        <f>C5*0.6</f>
        <v>4200</v>
      </c>
      <c r="I5" s="5" t="s">
        <v>14</v>
      </c>
    </row>
    <row r="6" spans="1:9" ht="27.75" customHeight="1" x14ac:dyDescent="0.3">
      <c r="A6" s="54"/>
      <c r="B6" s="6" t="s">
        <v>15</v>
      </c>
      <c r="C6" s="7">
        <v>8000</v>
      </c>
      <c r="D6" s="4">
        <f t="shared" ref="D6:D11" si="0">C6</f>
        <v>8000</v>
      </c>
      <c r="E6" s="4">
        <f t="shared" ref="E6:E53" si="1">C6*0.9</f>
        <v>7200</v>
      </c>
      <c r="F6" s="4">
        <f t="shared" ref="F6:F53" si="2">C6*0.8</f>
        <v>6400</v>
      </c>
      <c r="G6" s="4">
        <f t="shared" ref="G6:G53" si="3">C6*0.7</f>
        <v>5600</v>
      </c>
      <c r="H6" s="4">
        <f t="shared" ref="H6:H53" si="4">C6*0.6</f>
        <v>4800</v>
      </c>
      <c r="I6" s="9" t="s">
        <v>16</v>
      </c>
    </row>
    <row r="7" spans="1:9" ht="27.75" customHeight="1" x14ac:dyDescent="0.3">
      <c r="A7" s="54"/>
      <c r="B7" s="2" t="s">
        <v>17</v>
      </c>
      <c r="C7" s="3">
        <v>9000</v>
      </c>
      <c r="D7" s="4">
        <f t="shared" si="0"/>
        <v>9000</v>
      </c>
      <c r="E7" s="4">
        <f t="shared" si="1"/>
        <v>8100</v>
      </c>
      <c r="F7" s="4">
        <f t="shared" si="2"/>
        <v>7200</v>
      </c>
      <c r="G7" s="4">
        <f t="shared" si="3"/>
        <v>6300</v>
      </c>
      <c r="H7" s="4">
        <f t="shared" si="4"/>
        <v>5400</v>
      </c>
      <c r="I7" s="5" t="s">
        <v>18</v>
      </c>
    </row>
    <row r="8" spans="1:9" ht="27.75" customHeight="1" x14ac:dyDescent="0.3">
      <c r="A8" s="54"/>
      <c r="B8" s="6" t="s">
        <v>19</v>
      </c>
      <c r="C8" s="7">
        <v>7000</v>
      </c>
      <c r="D8" s="4">
        <f t="shared" si="0"/>
        <v>7000</v>
      </c>
      <c r="E8" s="4">
        <f t="shared" si="1"/>
        <v>6300</v>
      </c>
      <c r="F8" s="4">
        <f t="shared" si="2"/>
        <v>5600</v>
      </c>
      <c r="G8" s="4">
        <f t="shared" si="3"/>
        <v>4900</v>
      </c>
      <c r="H8" s="4">
        <f t="shared" si="4"/>
        <v>4200</v>
      </c>
      <c r="I8" s="9" t="s">
        <v>20</v>
      </c>
    </row>
    <row r="9" spans="1:9" ht="27.75" customHeight="1" x14ac:dyDescent="0.3">
      <c r="A9" s="54"/>
      <c r="B9" s="2" t="s">
        <v>21</v>
      </c>
      <c r="C9" s="3">
        <v>7000</v>
      </c>
      <c r="D9" s="4">
        <f t="shared" si="0"/>
        <v>7000</v>
      </c>
      <c r="E9" s="4">
        <f t="shared" si="1"/>
        <v>6300</v>
      </c>
      <c r="F9" s="4">
        <f t="shared" si="2"/>
        <v>5600</v>
      </c>
      <c r="G9" s="4">
        <f t="shared" si="3"/>
        <v>4900</v>
      </c>
      <c r="H9" s="4">
        <f t="shared" si="4"/>
        <v>4200</v>
      </c>
      <c r="I9" s="5" t="s">
        <v>22</v>
      </c>
    </row>
    <row r="10" spans="1:9" ht="27.75" customHeight="1" x14ac:dyDescent="0.3">
      <c r="A10" s="54"/>
      <c r="B10" s="6" t="s">
        <v>23</v>
      </c>
      <c r="C10" s="7">
        <v>6000</v>
      </c>
      <c r="D10" s="4">
        <f t="shared" si="0"/>
        <v>6000</v>
      </c>
      <c r="E10" s="4">
        <f t="shared" si="1"/>
        <v>5400</v>
      </c>
      <c r="F10" s="4">
        <f t="shared" si="2"/>
        <v>4800</v>
      </c>
      <c r="G10" s="4">
        <f t="shared" si="3"/>
        <v>4200</v>
      </c>
      <c r="H10" s="4">
        <f t="shared" si="4"/>
        <v>3600</v>
      </c>
      <c r="I10" s="9" t="s">
        <v>24</v>
      </c>
    </row>
    <row r="11" spans="1:9" ht="27.75" customHeight="1" x14ac:dyDescent="0.3">
      <c r="A11" s="54"/>
      <c r="B11" s="2" t="s">
        <v>25</v>
      </c>
      <c r="C11" s="3">
        <v>7500</v>
      </c>
      <c r="D11" s="4">
        <f t="shared" si="0"/>
        <v>7500</v>
      </c>
      <c r="E11" s="4">
        <f t="shared" si="1"/>
        <v>6750</v>
      </c>
      <c r="F11" s="4">
        <f t="shared" si="2"/>
        <v>6000</v>
      </c>
      <c r="G11" s="4">
        <f t="shared" si="3"/>
        <v>5250</v>
      </c>
      <c r="H11" s="4">
        <f t="shared" si="4"/>
        <v>4500</v>
      </c>
      <c r="I11" s="5" t="s">
        <v>26</v>
      </c>
    </row>
    <row r="12" spans="1:9" ht="27.75" customHeight="1" x14ac:dyDescent="0.3">
      <c r="A12" s="55" t="s">
        <v>27</v>
      </c>
      <c r="B12" s="6" t="s">
        <v>28</v>
      </c>
      <c r="C12" s="7">
        <v>12000</v>
      </c>
      <c r="D12" s="8">
        <v>12000</v>
      </c>
      <c r="E12" s="4">
        <f t="shared" si="1"/>
        <v>10800</v>
      </c>
      <c r="F12" s="4">
        <f t="shared" si="2"/>
        <v>9600</v>
      </c>
      <c r="G12" s="4">
        <f t="shared" si="3"/>
        <v>8400</v>
      </c>
      <c r="H12" s="4">
        <f t="shared" si="4"/>
        <v>7200</v>
      </c>
      <c r="I12" s="9" t="s">
        <v>29</v>
      </c>
    </row>
    <row r="13" spans="1:9" ht="27.75" customHeight="1" x14ac:dyDescent="0.3">
      <c r="A13" s="55"/>
      <c r="B13" s="2" t="s">
        <v>30</v>
      </c>
      <c r="C13" s="3">
        <v>9000</v>
      </c>
      <c r="D13" s="4">
        <f t="shared" ref="D13:D51" si="5">C13</f>
        <v>9000</v>
      </c>
      <c r="E13" s="4">
        <f t="shared" si="1"/>
        <v>8100</v>
      </c>
      <c r="F13" s="4">
        <f t="shared" si="2"/>
        <v>7200</v>
      </c>
      <c r="G13" s="4">
        <f t="shared" si="3"/>
        <v>6300</v>
      </c>
      <c r="H13" s="4">
        <f t="shared" si="4"/>
        <v>5400</v>
      </c>
      <c r="I13" s="5" t="s">
        <v>31</v>
      </c>
    </row>
    <row r="14" spans="1:9" ht="27.75" customHeight="1" x14ac:dyDescent="0.3">
      <c r="A14" s="55"/>
      <c r="B14" s="6" t="s">
        <v>32</v>
      </c>
      <c r="C14" s="7">
        <v>11000</v>
      </c>
      <c r="D14" s="4">
        <f t="shared" si="5"/>
        <v>11000</v>
      </c>
      <c r="E14" s="4">
        <f t="shared" si="1"/>
        <v>9900</v>
      </c>
      <c r="F14" s="4">
        <f t="shared" si="2"/>
        <v>8800</v>
      </c>
      <c r="G14" s="4">
        <f t="shared" si="3"/>
        <v>7699.9999999999991</v>
      </c>
      <c r="H14" s="4">
        <f t="shared" si="4"/>
        <v>6600</v>
      </c>
      <c r="I14" s="9" t="s">
        <v>33</v>
      </c>
    </row>
    <row r="15" spans="1:9" ht="27.75" customHeight="1" x14ac:dyDescent="0.3">
      <c r="A15" s="55"/>
      <c r="B15" s="2" t="s">
        <v>34</v>
      </c>
      <c r="C15" s="3">
        <v>14000</v>
      </c>
      <c r="D15" s="4">
        <f t="shared" si="5"/>
        <v>14000</v>
      </c>
      <c r="E15" s="4">
        <f t="shared" si="1"/>
        <v>12600</v>
      </c>
      <c r="F15" s="4">
        <f t="shared" si="2"/>
        <v>11200</v>
      </c>
      <c r="G15" s="4">
        <f t="shared" si="3"/>
        <v>9800</v>
      </c>
      <c r="H15" s="4">
        <f t="shared" si="4"/>
        <v>8400</v>
      </c>
      <c r="I15" s="5" t="s">
        <v>35</v>
      </c>
    </row>
    <row r="16" spans="1:9" ht="27.75" customHeight="1" x14ac:dyDescent="0.3">
      <c r="A16" s="55"/>
      <c r="B16" s="6" t="s">
        <v>36</v>
      </c>
      <c r="C16" s="7">
        <v>16000</v>
      </c>
      <c r="D16" s="4">
        <f t="shared" si="5"/>
        <v>16000</v>
      </c>
      <c r="E16" s="4">
        <f t="shared" si="1"/>
        <v>14400</v>
      </c>
      <c r="F16" s="4">
        <f t="shared" si="2"/>
        <v>12800</v>
      </c>
      <c r="G16" s="4">
        <f t="shared" si="3"/>
        <v>11200</v>
      </c>
      <c r="H16" s="4">
        <f>C16*  0.6</f>
        <v>9600</v>
      </c>
      <c r="I16" s="9" t="s">
        <v>37</v>
      </c>
    </row>
    <row r="17" spans="1:9" ht="27.75" customHeight="1" x14ac:dyDescent="0.3">
      <c r="A17" s="55"/>
      <c r="B17" s="2" t="s">
        <v>38</v>
      </c>
      <c r="C17" s="3">
        <v>16000</v>
      </c>
      <c r="D17" s="4">
        <f t="shared" si="5"/>
        <v>16000</v>
      </c>
      <c r="E17" s="4">
        <f t="shared" si="1"/>
        <v>14400</v>
      </c>
      <c r="F17" s="4">
        <f t="shared" si="2"/>
        <v>12800</v>
      </c>
      <c r="G17" s="4">
        <f t="shared" si="3"/>
        <v>11200</v>
      </c>
      <c r="H17" s="4">
        <f t="shared" si="4"/>
        <v>9600</v>
      </c>
      <c r="I17" s="5" t="s">
        <v>39</v>
      </c>
    </row>
    <row r="18" spans="1:9" ht="27.75" customHeight="1" x14ac:dyDescent="0.3">
      <c r="A18" s="55"/>
      <c r="B18" s="6" t="s">
        <v>40</v>
      </c>
      <c r="C18" s="7">
        <v>16000</v>
      </c>
      <c r="D18" s="4">
        <f t="shared" si="5"/>
        <v>16000</v>
      </c>
      <c r="E18" s="4">
        <f t="shared" si="1"/>
        <v>14400</v>
      </c>
      <c r="F18" s="4">
        <f t="shared" si="2"/>
        <v>12800</v>
      </c>
      <c r="G18" s="4">
        <f t="shared" si="3"/>
        <v>11200</v>
      </c>
      <c r="H18" s="4">
        <f t="shared" si="4"/>
        <v>9600</v>
      </c>
      <c r="I18" s="9" t="s">
        <v>41</v>
      </c>
    </row>
    <row r="19" spans="1:9" ht="27.75" customHeight="1" x14ac:dyDescent="0.3">
      <c r="A19" s="55"/>
      <c r="B19" s="2" t="s">
        <v>42</v>
      </c>
      <c r="C19" s="3">
        <v>28000</v>
      </c>
      <c r="D19" s="4">
        <f t="shared" si="5"/>
        <v>28000</v>
      </c>
      <c r="E19" s="4">
        <f t="shared" si="1"/>
        <v>25200</v>
      </c>
      <c r="F19" s="4">
        <f t="shared" si="2"/>
        <v>22400</v>
      </c>
      <c r="G19" s="4">
        <f t="shared" si="3"/>
        <v>19600</v>
      </c>
      <c r="H19" s="4">
        <f t="shared" si="4"/>
        <v>16800</v>
      </c>
      <c r="I19" s="5" t="s">
        <v>43</v>
      </c>
    </row>
    <row r="20" spans="1:9" ht="27.75" customHeight="1" x14ac:dyDescent="0.3">
      <c r="A20" s="55"/>
      <c r="B20" s="6" t="s">
        <v>44</v>
      </c>
      <c r="C20" s="7">
        <v>30000</v>
      </c>
      <c r="D20" s="8">
        <v>12001</v>
      </c>
      <c r="E20" s="4">
        <f t="shared" si="1"/>
        <v>27000</v>
      </c>
      <c r="F20" s="4">
        <f t="shared" si="2"/>
        <v>24000</v>
      </c>
      <c r="G20" s="4">
        <f t="shared" si="3"/>
        <v>21000</v>
      </c>
      <c r="H20" s="4">
        <f t="shared" si="4"/>
        <v>18000</v>
      </c>
      <c r="I20" s="9" t="s">
        <v>45</v>
      </c>
    </row>
    <row r="21" spans="1:9" ht="27.75" customHeight="1" x14ac:dyDescent="0.3">
      <c r="A21" s="55"/>
      <c r="B21" s="2" t="s">
        <v>46</v>
      </c>
      <c r="C21" s="3">
        <v>16000</v>
      </c>
      <c r="D21" s="4">
        <f t="shared" ref="D21" si="6">C21</f>
        <v>16000</v>
      </c>
      <c r="E21" s="4">
        <f t="shared" si="1"/>
        <v>14400</v>
      </c>
      <c r="F21" s="4">
        <f t="shared" si="2"/>
        <v>12800</v>
      </c>
      <c r="G21" s="4">
        <f t="shared" si="3"/>
        <v>11200</v>
      </c>
      <c r="H21" s="4">
        <f t="shared" si="4"/>
        <v>9600</v>
      </c>
      <c r="I21" s="5" t="s">
        <v>47</v>
      </c>
    </row>
    <row r="22" spans="1:9" ht="27.75" customHeight="1" x14ac:dyDescent="0.3">
      <c r="A22" s="49" t="s">
        <v>48</v>
      </c>
      <c r="B22" s="6" t="s">
        <v>49</v>
      </c>
      <c r="C22" s="7">
        <v>25000</v>
      </c>
      <c r="D22" s="4">
        <f t="shared" si="5"/>
        <v>25000</v>
      </c>
      <c r="E22" s="4">
        <f t="shared" si="1"/>
        <v>22500</v>
      </c>
      <c r="F22" s="4">
        <f t="shared" si="2"/>
        <v>20000</v>
      </c>
      <c r="G22" s="4">
        <f t="shared" si="3"/>
        <v>17500</v>
      </c>
      <c r="H22" s="4">
        <f t="shared" si="4"/>
        <v>15000</v>
      </c>
      <c r="I22" s="9" t="s">
        <v>50</v>
      </c>
    </row>
    <row r="23" spans="1:9" ht="27.75" customHeight="1" x14ac:dyDescent="0.3">
      <c r="A23" s="49"/>
      <c r="B23" s="2" t="s">
        <v>51</v>
      </c>
      <c r="C23" s="3">
        <v>18000</v>
      </c>
      <c r="D23" s="4">
        <f t="shared" si="5"/>
        <v>18000</v>
      </c>
      <c r="E23" s="4">
        <f t="shared" si="1"/>
        <v>16200</v>
      </c>
      <c r="F23" s="4">
        <f t="shared" si="2"/>
        <v>14400</v>
      </c>
      <c r="G23" s="4">
        <f t="shared" si="3"/>
        <v>12600</v>
      </c>
      <c r="H23" s="4">
        <f t="shared" si="4"/>
        <v>10800</v>
      </c>
      <c r="I23" s="5" t="s">
        <v>52</v>
      </c>
    </row>
    <row r="24" spans="1:9" ht="27.75" customHeight="1" x14ac:dyDescent="0.3">
      <c r="A24" s="49"/>
      <c r="B24" s="6" t="s">
        <v>53</v>
      </c>
      <c r="C24" s="7">
        <v>15000</v>
      </c>
      <c r="D24" s="4">
        <f t="shared" si="5"/>
        <v>15000</v>
      </c>
      <c r="E24" s="4">
        <f t="shared" si="1"/>
        <v>13500</v>
      </c>
      <c r="F24" s="4">
        <f t="shared" si="2"/>
        <v>12000</v>
      </c>
      <c r="G24" s="4">
        <f t="shared" si="3"/>
        <v>10500</v>
      </c>
      <c r="H24" s="4">
        <f t="shared" si="4"/>
        <v>9000</v>
      </c>
      <c r="I24" s="9" t="s">
        <v>54</v>
      </c>
    </row>
    <row r="25" spans="1:9" ht="27.75" customHeight="1" x14ac:dyDescent="0.3">
      <c r="A25" s="49"/>
      <c r="B25" s="2" t="s">
        <v>55</v>
      </c>
      <c r="C25" s="3">
        <v>6000</v>
      </c>
      <c r="D25" s="4">
        <f t="shared" si="5"/>
        <v>6000</v>
      </c>
      <c r="E25" s="4">
        <f t="shared" si="1"/>
        <v>5400</v>
      </c>
      <c r="F25" s="4">
        <f t="shared" si="2"/>
        <v>4800</v>
      </c>
      <c r="G25" s="4">
        <f t="shared" si="3"/>
        <v>4200</v>
      </c>
      <c r="H25" s="4">
        <f t="shared" si="4"/>
        <v>3600</v>
      </c>
      <c r="I25" s="5" t="s">
        <v>56</v>
      </c>
    </row>
    <row r="26" spans="1:9" ht="27.75" customHeight="1" x14ac:dyDescent="0.3">
      <c r="A26" s="49"/>
      <c r="B26" s="6" t="s">
        <v>57</v>
      </c>
      <c r="C26" s="7">
        <v>9000</v>
      </c>
      <c r="D26" s="4">
        <f t="shared" si="5"/>
        <v>9000</v>
      </c>
      <c r="E26" s="4">
        <f t="shared" si="1"/>
        <v>8100</v>
      </c>
      <c r="F26" s="4">
        <f t="shared" si="2"/>
        <v>7200</v>
      </c>
      <c r="G26" s="4">
        <f t="shared" si="3"/>
        <v>6300</v>
      </c>
      <c r="H26" s="4">
        <f t="shared" si="4"/>
        <v>5400</v>
      </c>
      <c r="I26" s="9" t="s">
        <v>58</v>
      </c>
    </row>
    <row r="27" spans="1:9" ht="27.75" customHeight="1" x14ac:dyDescent="0.3">
      <c r="A27" s="50" t="s">
        <v>59</v>
      </c>
      <c r="B27" s="2" t="s">
        <v>60</v>
      </c>
      <c r="C27" s="3">
        <v>24000</v>
      </c>
      <c r="D27" s="4">
        <f t="shared" si="5"/>
        <v>24000</v>
      </c>
      <c r="E27" s="4">
        <f t="shared" si="1"/>
        <v>21600</v>
      </c>
      <c r="F27" s="4">
        <f t="shared" si="2"/>
        <v>19200</v>
      </c>
      <c r="G27" s="4">
        <f t="shared" si="3"/>
        <v>16800</v>
      </c>
      <c r="H27" s="4">
        <f t="shared" si="4"/>
        <v>14400</v>
      </c>
      <c r="I27" s="5" t="s">
        <v>61</v>
      </c>
    </row>
    <row r="28" spans="1:9" ht="27.75" customHeight="1" x14ac:dyDescent="0.3">
      <c r="A28" s="50"/>
      <c r="B28" s="6" t="s">
        <v>62</v>
      </c>
      <c r="C28" s="7">
        <v>14000</v>
      </c>
      <c r="D28" s="8">
        <v>12002</v>
      </c>
      <c r="E28" s="4">
        <f t="shared" si="1"/>
        <v>12600</v>
      </c>
      <c r="F28" s="4">
        <f t="shared" si="2"/>
        <v>11200</v>
      </c>
      <c r="G28" s="4">
        <f t="shared" si="3"/>
        <v>9800</v>
      </c>
      <c r="H28" s="4">
        <f t="shared" si="4"/>
        <v>8400</v>
      </c>
      <c r="I28" s="9" t="s">
        <v>63</v>
      </c>
    </row>
    <row r="29" spans="1:9" ht="27.75" customHeight="1" x14ac:dyDescent="0.3">
      <c r="A29" s="50"/>
      <c r="B29" s="2" t="s">
        <v>64</v>
      </c>
      <c r="C29" s="3">
        <v>16000</v>
      </c>
      <c r="D29" s="4">
        <f t="shared" ref="D29" si="7">C29</f>
        <v>16000</v>
      </c>
      <c r="E29" s="4">
        <f t="shared" si="1"/>
        <v>14400</v>
      </c>
      <c r="F29" s="4">
        <f t="shared" si="2"/>
        <v>12800</v>
      </c>
      <c r="G29" s="4">
        <f t="shared" si="3"/>
        <v>11200</v>
      </c>
      <c r="H29" s="4">
        <f t="shared" si="4"/>
        <v>9600</v>
      </c>
      <c r="I29" s="5" t="s">
        <v>65</v>
      </c>
    </row>
    <row r="30" spans="1:9" ht="27.75" customHeight="1" x14ac:dyDescent="0.3">
      <c r="A30" s="50"/>
      <c r="B30" s="6" t="s">
        <v>66</v>
      </c>
      <c r="C30" s="7">
        <v>14000</v>
      </c>
      <c r="D30" s="4">
        <f t="shared" si="5"/>
        <v>14000</v>
      </c>
      <c r="E30" s="4">
        <f t="shared" si="1"/>
        <v>12600</v>
      </c>
      <c r="F30" s="4">
        <f t="shared" si="2"/>
        <v>11200</v>
      </c>
      <c r="G30" s="4">
        <f t="shared" si="3"/>
        <v>9800</v>
      </c>
      <c r="H30" s="4">
        <f t="shared" si="4"/>
        <v>8400</v>
      </c>
      <c r="I30" s="9" t="s">
        <v>67</v>
      </c>
    </row>
    <row r="31" spans="1:9" ht="27.75" customHeight="1" x14ac:dyDescent="0.3">
      <c r="A31" s="50"/>
      <c r="B31" s="2" t="s">
        <v>68</v>
      </c>
      <c r="C31" s="3">
        <v>14000</v>
      </c>
      <c r="D31" s="4">
        <f t="shared" si="5"/>
        <v>14000</v>
      </c>
      <c r="E31" s="4">
        <f t="shared" si="1"/>
        <v>12600</v>
      </c>
      <c r="F31" s="4">
        <f t="shared" si="2"/>
        <v>11200</v>
      </c>
      <c r="G31" s="4">
        <f t="shared" si="3"/>
        <v>9800</v>
      </c>
      <c r="H31" s="4">
        <f t="shared" si="4"/>
        <v>8400</v>
      </c>
      <c r="I31" s="5" t="s">
        <v>69</v>
      </c>
    </row>
    <row r="32" spans="1:9" ht="27.75" customHeight="1" x14ac:dyDescent="0.3">
      <c r="A32" s="50"/>
      <c r="B32" s="6" t="s">
        <v>70</v>
      </c>
      <c r="C32" s="7">
        <v>14000</v>
      </c>
      <c r="D32" s="4">
        <f t="shared" si="5"/>
        <v>14000</v>
      </c>
      <c r="E32" s="4">
        <f t="shared" si="1"/>
        <v>12600</v>
      </c>
      <c r="F32" s="4">
        <f t="shared" si="2"/>
        <v>11200</v>
      </c>
      <c r="G32" s="4">
        <f t="shared" si="3"/>
        <v>9800</v>
      </c>
      <c r="H32" s="4">
        <f t="shared" si="4"/>
        <v>8400</v>
      </c>
      <c r="I32" s="9" t="s">
        <v>71</v>
      </c>
    </row>
    <row r="33" spans="1:9" ht="27.75" customHeight="1" x14ac:dyDescent="0.3">
      <c r="A33" s="50"/>
      <c r="B33" s="2" t="s">
        <v>72</v>
      </c>
      <c r="C33" s="3">
        <v>14000</v>
      </c>
      <c r="D33" s="4">
        <f t="shared" si="5"/>
        <v>14000</v>
      </c>
      <c r="E33" s="4">
        <f t="shared" si="1"/>
        <v>12600</v>
      </c>
      <c r="F33" s="4">
        <f t="shared" si="2"/>
        <v>11200</v>
      </c>
      <c r="G33" s="4">
        <f t="shared" si="3"/>
        <v>9800</v>
      </c>
      <c r="H33" s="4">
        <f t="shared" si="4"/>
        <v>8400</v>
      </c>
      <c r="I33" s="5" t="s">
        <v>73</v>
      </c>
    </row>
    <row r="34" spans="1:9" ht="27.75" customHeight="1" x14ac:dyDescent="0.3">
      <c r="A34" s="50"/>
      <c r="B34" s="6" t="s">
        <v>74</v>
      </c>
      <c r="C34" s="7">
        <v>15000</v>
      </c>
      <c r="D34" s="4">
        <f t="shared" si="5"/>
        <v>15000</v>
      </c>
      <c r="E34" s="4">
        <f t="shared" si="1"/>
        <v>13500</v>
      </c>
      <c r="F34" s="4">
        <f t="shared" si="2"/>
        <v>12000</v>
      </c>
      <c r="G34" s="4">
        <f t="shared" si="3"/>
        <v>10500</v>
      </c>
      <c r="H34" s="4">
        <f t="shared" si="4"/>
        <v>9000</v>
      </c>
      <c r="I34" s="9" t="s">
        <v>75</v>
      </c>
    </row>
    <row r="35" spans="1:9" ht="27.75" customHeight="1" x14ac:dyDescent="0.3">
      <c r="A35" s="50"/>
      <c r="B35" s="2" t="s">
        <v>76</v>
      </c>
      <c r="C35" s="3">
        <v>22000</v>
      </c>
      <c r="D35" s="4">
        <f t="shared" si="5"/>
        <v>22000</v>
      </c>
      <c r="E35" s="4">
        <f t="shared" si="1"/>
        <v>19800</v>
      </c>
      <c r="F35" s="4">
        <f t="shared" si="2"/>
        <v>17600</v>
      </c>
      <c r="G35" s="4">
        <f t="shared" si="3"/>
        <v>15399.999999999998</v>
      </c>
      <c r="H35" s="4">
        <f t="shared" si="4"/>
        <v>13200</v>
      </c>
      <c r="I35" s="5" t="s">
        <v>77</v>
      </c>
    </row>
    <row r="36" spans="1:9" ht="27.75" customHeight="1" x14ac:dyDescent="0.3">
      <c r="A36" s="50"/>
      <c r="B36" s="6" t="s">
        <v>78</v>
      </c>
      <c r="C36" s="7">
        <v>22000</v>
      </c>
      <c r="D36" s="8">
        <v>12003</v>
      </c>
      <c r="E36" s="4">
        <f t="shared" si="1"/>
        <v>19800</v>
      </c>
      <c r="F36" s="4">
        <f t="shared" si="2"/>
        <v>17600</v>
      </c>
      <c r="G36" s="4">
        <f t="shared" si="3"/>
        <v>15399.999999999998</v>
      </c>
      <c r="H36" s="4">
        <f t="shared" si="4"/>
        <v>13200</v>
      </c>
      <c r="I36" s="9" t="s">
        <v>79</v>
      </c>
    </row>
    <row r="37" spans="1:9" ht="27.75" customHeight="1" x14ac:dyDescent="0.3">
      <c r="A37" s="50"/>
      <c r="B37" s="2" t="s">
        <v>80</v>
      </c>
      <c r="C37" s="3">
        <v>14000</v>
      </c>
      <c r="D37" s="4">
        <f t="shared" ref="D37" si="8">C37</f>
        <v>14000</v>
      </c>
      <c r="E37" s="4">
        <f t="shared" si="1"/>
        <v>12600</v>
      </c>
      <c r="F37" s="4">
        <f t="shared" si="2"/>
        <v>11200</v>
      </c>
      <c r="G37" s="4">
        <f t="shared" si="3"/>
        <v>9800</v>
      </c>
      <c r="H37" s="4">
        <f t="shared" si="4"/>
        <v>8400</v>
      </c>
      <c r="I37" s="5" t="s">
        <v>81</v>
      </c>
    </row>
    <row r="38" spans="1:9" ht="27.75" customHeight="1" x14ac:dyDescent="0.3">
      <c r="A38" s="51" t="s">
        <v>82</v>
      </c>
      <c r="B38" s="6" t="s">
        <v>83</v>
      </c>
      <c r="C38" s="7">
        <v>24000</v>
      </c>
      <c r="D38" s="4">
        <f t="shared" si="5"/>
        <v>24000</v>
      </c>
      <c r="E38" s="4">
        <f t="shared" si="1"/>
        <v>21600</v>
      </c>
      <c r="F38" s="4">
        <f t="shared" si="2"/>
        <v>19200</v>
      </c>
      <c r="G38" s="4">
        <f t="shared" si="3"/>
        <v>16800</v>
      </c>
      <c r="H38" s="4">
        <f t="shared" si="4"/>
        <v>14400</v>
      </c>
      <c r="I38" s="9" t="s">
        <v>84</v>
      </c>
    </row>
    <row r="39" spans="1:9" ht="27.75" customHeight="1" x14ac:dyDescent="0.3">
      <c r="A39" s="51"/>
      <c r="B39" s="2" t="s">
        <v>85</v>
      </c>
      <c r="C39" s="3">
        <v>16000</v>
      </c>
      <c r="D39" s="4">
        <f t="shared" si="5"/>
        <v>16000</v>
      </c>
      <c r="E39" s="4">
        <f t="shared" si="1"/>
        <v>14400</v>
      </c>
      <c r="F39" s="4">
        <f t="shared" si="2"/>
        <v>12800</v>
      </c>
      <c r="G39" s="4">
        <f t="shared" si="3"/>
        <v>11200</v>
      </c>
      <c r="H39" s="4">
        <f t="shared" si="4"/>
        <v>9600</v>
      </c>
      <c r="I39" s="5" t="s">
        <v>86</v>
      </c>
    </row>
    <row r="40" spans="1:9" ht="27.75" customHeight="1" x14ac:dyDescent="0.3">
      <c r="A40" s="51"/>
      <c r="B40" s="6" t="s">
        <v>87</v>
      </c>
      <c r="C40" s="7">
        <v>15000</v>
      </c>
      <c r="D40" s="4">
        <f t="shared" si="5"/>
        <v>15000</v>
      </c>
      <c r="E40" s="4">
        <f t="shared" si="1"/>
        <v>13500</v>
      </c>
      <c r="F40" s="4">
        <f t="shared" si="2"/>
        <v>12000</v>
      </c>
      <c r="G40" s="4">
        <f t="shared" si="3"/>
        <v>10500</v>
      </c>
      <c r="H40" s="4">
        <f t="shared" si="4"/>
        <v>9000</v>
      </c>
      <c r="I40" s="9" t="s">
        <v>88</v>
      </c>
    </row>
    <row r="41" spans="1:9" ht="27.75" customHeight="1" x14ac:dyDescent="0.3">
      <c r="A41" s="51"/>
      <c r="B41" s="2" t="s">
        <v>89</v>
      </c>
      <c r="C41" s="3">
        <v>10000</v>
      </c>
      <c r="D41" s="4">
        <f t="shared" si="5"/>
        <v>10000</v>
      </c>
      <c r="E41" s="4">
        <f t="shared" si="1"/>
        <v>9000</v>
      </c>
      <c r="F41" s="4">
        <f t="shared" si="2"/>
        <v>8000</v>
      </c>
      <c r="G41" s="4">
        <f t="shared" si="3"/>
        <v>7000</v>
      </c>
      <c r="H41" s="4">
        <f t="shared" si="4"/>
        <v>6000</v>
      </c>
      <c r="I41" s="5" t="s">
        <v>90</v>
      </c>
    </row>
    <row r="42" spans="1:9" ht="27.75" customHeight="1" x14ac:dyDescent="0.3">
      <c r="A42" s="51"/>
      <c r="B42" s="6" t="s">
        <v>91</v>
      </c>
      <c r="C42" s="7">
        <v>13000</v>
      </c>
      <c r="D42" s="4">
        <f t="shared" si="5"/>
        <v>13000</v>
      </c>
      <c r="E42" s="4">
        <f t="shared" si="1"/>
        <v>11700</v>
      </c>
      <c r="F42" s="4">
        <f t="shared" si="2"/>
        <v>10400</v>
      </c>
      <c r="G42" s="4">
        <f t="shared" si="3"/>
        <v>9100</v>
      </c>
      <c r="H42" s="4">
        <f t="shared" si="4"/>
        <v>7800</v>
      </c>
      <c r="I42" s="9" t="s">
        <v>92</v>
      </c>
    </row>
    <row r="43" spans="1:9" ht="27.75" customHeight="1" x14ac:dyDescent="0.3">
      <c r="A43" s="51"/>
      <c r="B43" s="2" t="s">
        <v>93</v>
      </c>
      <c r="C43" s="3">
        <v>9000</v>
      </c>
      <c r="D43" s="4">
        <f t="shared" si="5"/>
        <v>9000</v>
      </c>
      <c r="E43" s="4">
        <f t="shared" si="1"/>
        <v>8100</v>
      </c>
      <c r="F43" s="4">
        <f t="shared" si="2"/>
        <v>7200</v>
      </c>
      <c r="G43" s="4">
        <f t="shared" si="3"/>
        <v>6300</v>
      </c>
      <c r="H43" s="4">
        <f t="shared" si="4"/>
        <v>5400</v>
      </c>
      <c r="I43" s="5" t="s">
        <v>94</v>
      </c>
    </row>
    <row r="44" spans="1:9" ht="27.75" customHeight="1" x14ac:dyDescent="0.3">
      <c r="A44" s="51"/>
      <c r="B44" s="6" t="s">
        <v>95</v>
      </c>
      <c r="C44" s="7">
        <v>10000</v>
      </c>
      <c r="D44" s="8">
        <v>12004</v>
      </c>
      <c r="E44" s="4">
        <f t="shared" si="1"/>
        <v>9000</v>
      </c>
      <c r="F44" s="4">
        <f t="shared" si="2"/>
        <v>8000</v>
      </c>
      <c r="G44" s="4">
        <f t="shared" si="3"/>
        <v>7000</v>
      </c>
      <c r="H44" s="4">
        <f t="shared" si="4"/>
        <v>6000</v>
      </c>
      <c r="I44" s="9" t="s">
        <v>96</v>
      </c>
    </row>
    <row r="45" spans="1:9" ht="27.75" customHeight="1" x14ac:dyDescent="0.3">
      <c r="A45" s="51"/>
      <c r="B45" s="2" t="s">
        <v>97</v>
      </c>
      <c r="C45" s="3">
        <v>9000</v>
      </c>
      <c r="D45" s="4">
        <f t="shared" ref="D45" si="9">C45</f>
        <v>9000</v>
      </c>
      <c r="E45" s="4">
        <f t="shared" si="1"/>
        <v>8100</v>
      </c>
      <c r="F45" s="4">
        <f t="shared" si="2"/>
        <v>7200</v>
      </c>
      <c r="G45" s="4">
        <f t="shared" si="3"/>
        <v>6300</v>
      </c>
      <c r="H45" s="4">
        <f t="shared" si="4"/>
        <v>5400</v>
      </c>
      <c r="I45" s="5" t="s">
        <v>98</v>
      </c>
    </row>
    <row r="46" spans="1:9" ht="27.75" customHeight="1" x14ac:dyDescent="0.3">
      <c r="A46" s="51"/>
      <c r="B46" s="6" t="s">
        <v>99</v>
      </c>
      <c r="C46" s="7">
        <v>18000</v>
      </c>
      <c r="D46" s="4">
        <f t="shared" si="5"/>
        <v>18000</v>
      </c>
      <c r="E46" s="4">
        <f t="shared" si="1"/>
        <v>16200</v>
      </c>
      <c r="F46" s="4">
        <f t="shared" si="2"/>
        <v>14400</v>
      </c>
      <c r="G46" s="4">
        <f t="shared" si="3"/>
        <v>12600</v>
      </c>
      <c r="H46" s="4">
        <f t="shared" si="4"/>
        <v>10800</v>
      </c>
      <c r="I46" s="9" t="s">
        <v>100</v>
      </c>
    </row>
    <row r="47" spans="1:9" ht="27.75" customHeight="1" x14ac:dyDescent="0.3">
      <c r="A47" s="51"/>
      <c r="B47" s="2" t="s">
        <v>101</v>
      </c>
      <c r="C47" s="3">
        <v>6000</v>
      </c>
      <c r="D47" s="4">
        <f t="shared" si="5"/>
        <v>6000</v>
      </c>
      <c r="E47" s="4">
        <f t="shared" si="1"/>
        <v>5400</v>
      </c>
      <c r="F47" s="4">
        <f t="shared" si="2"/>
        <v>4800</v>
      </c>
      <c r="G47" s="4">
        <f t="shared" si="3"/>
        <v>4200</v>
      </c>
      <c r="H47" s="4">
        <f t="shared" si="4"/>
        <v>3600</v>
      </c>
      <c r="I47" s="5" t="s">
        <v>102</v>
      </c>
    </row>
    <row r="48" spans="1:9" ht="27.75" customHeight="1" x14ac:dyDescent="0.3">
      <c r="A48" s="51"/>
      <c r="B48" s="6" t="s">
        <v>103</v>
      </c>
      <c r="C48" s="7">
        <v>16000</v>
      </c>
      <c r="D48" s="4">
        <f t="shared" si="5"/>
        <v>16000</v>
      </c>
      <c r="E48" s="4">
        <f t="shared" si="1"/>
        <v>14400</v>
      </c>
      <c r="F48" s="4">
        <f t="shared" si="2"/>
        <v>12800</v>
      </c>
      <c r="G48" s="4">
        <f t="shared" si="3"/>
        <v>11200</v>
      </c>
      <c r="H48" s="4">
        <f t="shared" si="4"/>
        <v>9600</v>
      </c>
      <c r="I48" s="9" t="s">
        <v>104</v>
      </c>
    </row>
    <row r="49" spans="1:11" ht="27.75" customHeight="1" x14ac:dyDescent="0.3">
      <c r="A49" s="51"/>
      <c r="B49" s="2" t="s">
        <v>105</v>
      </c>
      <c r="C49" s="3">
        <v>18000</v>
      </c>
      <c r="D49" s="4">
        <f t="shared" si="5"/>
        <v>18000</v>
      </c>
      <c r="E49" s="4">
        <f t="shared" si="1"/>
        <v>16200</v>
      </c>
      <c r="F49" s="4">
        <f t="shared" si="2"/>
        <v>14400</v>
      </c>
      <c r="G49" s="4">
        <f t="shared" si="3"/>
        <v>12600</v>
      </c>
      <c r="H49" s="4">
        <f t="shared" si="4"/>
        <v>10800</v>
      </c>
      <c r="I49" s="5" t="s">
        <v>106</v>
      </c>
    </row>
    <row r="50" spans="1:11" ht="27.75" customHeight="1" x14ac:dyDescent="0.3">
      <c r="A50" s="51"/>
      <c r="B50" s="6" t="s">
        <v>107</v>
      </c>
      <c r="C50" s="7">
        <v>9000</v>
      </c>
      <c r="D50" s="4">
        <f t="shared" si="5"/>
        <v>9000</v>
      </c>
      <c r="E50" s="4">
        <f t="shared" si="1"/>
        <v>8100</v>
      </c>
      <c r="F50" s="4">
        <f t="shared" si="2"/>
        <v>7200</v>
      </c>
      <c r="G50" s="4">
        <f t="shared" si="3"/>
        <v>6300</v>
      </c>
      <c r="H50" s="4">
        <f t="shared" si="4"/>
        <v>5400</v>
      </c>
      <c r="I50" s="9" t="s">
        <v>108</v>
      </c>
    </row>
    <row r="51" spans="1:11" ht="27.75" customHeight="1" x14ac:dyDescent="0.3">
      <c r="A51" s="51"/>
      <c r="B51" s="2" t="s">
        <v>109</v>
      </c>
      <c r="C51" s="3">
        <v>13000</v>
      </c>
      <c r="D51" s="4">
        <f t="shared" si="5"/>
        <v>13000</v>
      </c>
      <c r="E51" s="4">
        <f t="shared" si="1"/>
        <v>11700</v>
      </c>
      <c r="F51" s="4">
        <f t="shared" si="2"/>
        <v>10400</v>
      </c>
      <c r="G51" s="4">
        <f t="shared" si="3"/>
        <v>9100</v>
      </c>
      <c r="H51" s="4">
        <f t="shared" si="4"/>
        <v>7800</v>
      </c>
      <c r="I51" s="5" t="s">
        <v>110</v>
      </c>
    </row>
    <row r="52" spans="1:11" ht="27.75" customHeight="1" x14ac:dyDescent="0.3">
      <c r="A52" s="51"/>
      <c r="B52" s="6" t="s">
        <v>111</v>
      </c>
      <c r="C52" s="7">
        <v>11000</v>
      </c>
      <c r="D52" s="8">
        <v>12005</v>
      </c>
      <c r="E52" s="4">
        <f t="shared" si="1"/>
        <v>9900</v>
      </c>
      <c r="F52" s="4">
        <f t="shared" si="2"/>
        <v>8800</v>
      </c>
      <c r="G52" s="4">
        <f t="shared" si="3"/>
        <v>7699.9999999999991</v>
      </c>
      <c r="H52" s="4">
        <f t="shared" si="4"/>
        <v>6600</v>
      </c>
      <c r="I52" s="9" t="s">
        <v>112</v>
      </c>
    </row>
    <row r="53" spans="1:11" ht="27.75" customHeight="1" x14ac:dyDescent="0.3">
      <c r="A53" s="51"/>
      <c r="B53" s="2" t="s">
        <v>113</v>
      </c>
      <c r="C53" s="3">
        <v>9000</v>
      </c>
      <c r="D53" s="4">
        <f t="shared" ref="D53" si="10">C53</f>
        <v>9000</v>
      </c>
      <c r="E53" s="4">
        <f t="shared" si="1"/>
        <v>8100</v>
      </c>
      <c r="F53" s="4">
        <f t="shared" si="2"/>
        <v>7200</v>
      </c>
      <c r="G53" s="4">
        <f t="shared" si="3"/>
        <v>6300</v>
      </c>
      <c r="H53" s="4">
        <f t="shared" si="4"/>
        <v>5400</v>
      </c>
      <c r="I53" s="5" t="s">
        <v>114</v>
      </c>
    </row>
    <row r="56" spans="1:11" ht="30" customHeight="1" x14ac:dyDescent="0.3">
      <c r="A56" s="52" t="s">
        <v>115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spans="1:11" ht="18" customHeight="1" x14ac:dyDescent="0.3">
      <c r="A57" s="53" t="s">
        <v>1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</row>
    <row r="58" spans="1:11" ht="15.75" customHeight="1" x14ac:dyDescent="0.3">
      <c r="A58" s="46" t="s">
        <v>116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60" spans="1:11" ht="21.75" customHeight="1" x14ac:dyDescent="0.3">
      <c r="A60" s="27" t="s">
        <v>117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1" ht="40.799999999999997" customHeight="1" x14ac:dyDescent="0.3">
      <c r="A61" s="1" t="s">
        <v>118</v>
      </c>
      <c r="B61" s="1" t="s">
        <v>119</v>
      </c>
      <c r="C61" s="1" t="s">
        <v>120</v>
      </c>
      <c r="D61" s="1" t="s">
        <v>121</v>
      </c>
      <c r="E61" s="1" t="s">
        <v>122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 t="s">
        <v>123</v>
      </c>
    </row>
    <row r="62" spans="1:11" ht="30" customHeight="1" x14ac:dyDescent="0.3">
      <c r="A62" s="10">
        <v>1</v>
      </c>
      <c r="B62" s="2" t="s">
        <v>124</v>
      </c>
      <c r="C62" s="11" t="s">
        <v>125</v>
      </c>
      <c r="D62" s="10">
        <v>3</v>
      </c>
      <c r="E62" s="12">
        <f>C5+C8+C10</f>
        <v>20000</v>
      </c>
      <c r="F62" s="13">
        <v>15100</v>
      </c>
      <c r="G62" s="4">
        <f t="shared" ref="G62:J69" si="11">$F62*(1-G$70)</f>
        <v>13590</v>
      </c>
      <c r="H62" s="4">
        <f t="shared" si="11"/>
        <v>12080</v>
      </c>
      <c r="I62" s="4">
        <f t="shared" si="11"/>
        <v>10570</v>
      </c>
      <c r="J62" s="4">
        <f t="shared" si="11"/>
        <v>9060</v>
      </c>
      <c r="K62" s="14">
        <f t="shared" ref="K62:K69" si="12">1-F62/E62</f>
        <v>0.245</v>
      </c>
    </row>
    <row r="63" spans="1:11" ht="30" customHeight="1" x14ac:dyDescent="0.3">
      <c r="A63" s="15">
        <v>2</v>
      </c>
      <c r="B63" s="6" t="s">
        <v>126</v>
      </c>
      <c r="C63" s="16" t="s">
        <v>127</v>
      </c>
      <c r="D63" s="15">
        <v>8</v>
      </c>
      <c r="E63" s="17">
        <f>C5+C8+C10+C12+C13+C14+C16+C38</f>
        <v>92000</v>
      </c>
      <c r="F63" s="18">
        <v>26000</v>
      </c>
      <c r="G63" s="8">
        <f t="shared" si="11"/>
        <v>23400</v>
      </c>
      <c r="H63" s="8">
        <f t="shared" si="11"/>
        <v>20800</v>
      </c>
      <c r="I63" s="8">
        <f t="shared" si="11"/>
        <v>18200</v>
      </c>
      <c r="J63" s="8">
        <f t="shared" si="11"/>
        <v>15600</v>
      </c>
      <c r="K63" s="19">
        <f t="shared" si="12"/>
        <v>0.71739130434782616</v>
      </c>
    </row>
    <row r="64" spans="1:11" ht="30" customHeight="1" x14ac:dyDescent="0.3">
      <c r="A64" s="10">
        <v>3</v>
      </c>
      <c r="B64" s="2" t="s">
        <v>128</v>
      </c>
      <c r="C64" s="11" t="s">
        <v>129</v>
      </c>
      <c r="D64" s="10">
        <v>7</v>
      </c>
      <c r="E64" s="12">
        <f>C27+C9+C29+C30+C31+C32+C33</f>
        <v>103000</v>
      </c>
      <c r="F64" s="13">
        <v>28500</v>
      </c>
      <c r="G64" s="4">
        <f t="shared" si="11"/>
        <v>25650</v>
      </c>
      <c r="H64" s="4">
        <f t="shared" si="11"/>
        <v>22800</v>
      </c>
      <c r="I64" s="4">
        <f t="shared" si="11"/>
        <v>19950</v>
      </c>
      <c r="J64" s="4">
        <f t="shared" si="11"/>
        <v>17100</v>
      </c>
      <c r="K64" s="14">
        <f t="shared" si="12"/>
        <v>0.72330097087378642</v>
      </c>
    </row>
    <row r="65" spans="1:11" ht="30" customHeight="1" x14ac:dyDescent="0.3">
      <c r="A65" s="15">
        <v>4</v>
      </c>
      <c r="B65" s="6" t="s">
        <v>49</v>
      </c>
      <c r="C65" s="16" t="s">
        <v>130</v>
      </c>
      <c r="D65" s="15">
        <v>3</v>
      </c>
      <c r="E65" s="17">
        <f>C22+C23+C5</f>
        <v>50000</v>
      </c>
      <c r="F65" s="18">
        <v>27900</v>
      </c>
      <c r="G65" s="8">
        <f t="shared" si="11"/>
        <v>25110</v>
      </c>
      <c r="H65" s="8">
        <f t="shared" si="11"/>
        <v>22320</v>
      </c>
      <c r="I65" s="8">
        <f t="shared" si="11"/>
        <v>19530</v>
      </c>
      <c r="J65" s="8">
        <f t="shared" si="11"/>
        <v>16740</v>
      </c>
      <c r="K65" s="19">
        <f t="shared" si="12"/>
        <v>0.44199999999999995</v>
      </c>
    </row>
    <row r="66" spans="1:11" ht="30" customHeight="1" x14ac:dyDescent="0.3">
      <c r="A66" s="10">
        <v>5</v>
      </c>
      <c r="B66" s="2" t="s">
        <v>131</v>
      </c>
      <c r="C66" s="11" t="s">
        <v>132</v>
      </c>
      <c r="D66" s="10">
        <v>6</v>
      </c>
      <c r="E66" s="12">
        <f>C39+C38+C12+C15+C14+C10</f>
        <v>83000</v>
      </c>
      <c r="F66" s="13">
        <v>26900</v>
      </c>
      <c r="G66" s="4">
        <f t="shared" si="11"/>
        <v>24210</v>
      </c>
      <c r="H66" s="4">
        <f t="shared" si="11"/>
        <v>21520</v>
      </c>
      <c r="I66" s="4">
        <f t="shared" si="11"/>
        <v>18830</v>
      </c>
      <c r="J66" s="4">
        <f t="shared" si="11"/>
        <v>16140</v>
      </c>
      <c r="K66" s="14">
        <f t="shared" si="12"/>
        <v>0.67590361445783131</v>
      </c>
    </row>
    <row r="67" spans="1:11" ht="30" customHeight="1" x14ac:dyDescent="0.3">
      <c r="A67" s="15">
        <v>6</v>
      </c>
      <c r="B67" s="6" t="s">
        <v>133</v>
      </c>
      <c r="C67" s="16" t="s">
        <v>134</v>
      </c>
      <c r="D67" s="15">
        <v>5</v>
      </c>
      <c r="E67" s="17">
        <f>C5+C11+C43+C6+C44</f>
        <v>41500</v>
      </c>
      <c r="F67" s="18">
        <v>18200</v>
      </c>
      <c r="G67" s="8">
        <f t="shared" si="11"/>
        <v>16380</v>
      </c>
      <c r="H67" s="8">
        <f t="shared" si="11"/>
        <v>14560</v>
      </c>
      <c r="I67" s="8">
        <f t="shared" si="11"/>
        <v>12740</v>
      </c>
      <c r="J67" s="8">
        <f t="shared" si="11"/>
        <v>10920</v>
      </c>
      <c r="K67" s="19">
        <f t="shared" si="12"/>
        <v>0.56144578313253013</v>
      </c>
    </row>
    <row r="68" spans="1:11" ht="30" customHeight="1" x14ac:dyDescent="0.3">
      <c r="A68" s="10">
        <v>7</v>
      </c>
      <c r="B68" s="2" t="s">
        <v>135</v>
      </c>
      <c r="C68" s="11" t="s">
        <v>136</v>
      </c>
      <c r="D68" s="10">
        <v>5</v>
      </c>
      <c r="E68" s="12">
        <f>C48+C49+C18+C15+C6</f>
        <v>72000</v>
      </c>
      <c r="F68" s="13">
        <v>24800</v>
      </c>
      <c r="G68" s="4">
        <f t="shared" si="11"/>
        <v>22320</v>
      </c>
      <c r="H68" s="4">
        <f t="shared" si="11"/>
        <v>19840</v>
      </c>
      <c r="I68" s="4">
        <f t="shared" si="11"/>
        <v>17360</v>
      </c>
      <c r="J68" s="4">
        <f t="shared" si="11"/>
        <v>14880</v>
      </c>
      <c r="K68" s="14">
        <f t="shared" si="12"/>
        <v>0.65555555555555556</v>
      </c>
    </row>
    <row r="69" spans="1:11" ht="30" customHeight="1" x14ac:dyDescent="0.3">
      <c r="A69" s="15">
        <v>8</v>
      </c>
      <c r="B69" s="6" t="s">
        <v>137</v>
      </c>
      <c r="C69" s="16" t="s">
        <v>138</v>
      </c>
      <c r="D69" s="15">
        <v>49</v>
      </c>
      <c r="E69" s="17">
        <f>SUM(C5:C53)</f>
        <v>681500</v>
      </c>
      <c r="F69" s="18">
        <v>49300</v>
      </c>
      <c r="G69" s="8">
        <f t="shared" si="11"/>
        <v>44370</v>
      </c>
      <c r="H69" s="8">
        <f t="shared" si="11"/>
        <v>39440</v>
      </c>
      <c r="I69" s="8">
        <f t="shared" si="11"/>
        <v>34510</v>
      </c>
      <c r="J69" s="8">
        <f t="shared" si="11"/>
        <v>29580</v>
      </c>
      <c r="K69" s="19">
        <f t="shared" si="12"/>
        <v>0.92765957446808511</v>
      </c>
    </row>
    <row r="70" spans="1:11" ht="18" customHeight="1" x14ac:dyDescent="0.3">
      <c r="A70" s="47" t="s">
        <v>139</v>
      </c>
      <c r="B70" s="47"/>
      <c r="C70" s="47"/>
      <c r="D70" s="47"/>
      <c r="E70" s="47"/>
      <c r="F70" s="20">
        <v>0</v>
      </c>
      <c r="G70" s="20">
        <v>0.1</v>
      </c>
      <c r="H70" s="20">
        <v>0.2</v>
      </c>
      <c r="I70" s="20">
        <v>0.3</v>
      </c>
      <c r="J70" s="20">
        <v>0.4</v>
      </c>
      <c r="K70" s="21"/>
    </row>
    <row r="71" spans="1:11" ht="27.75" customHeight="1" x14ac:dyDescent="0.3">
      <c r="A71" s="48" t="s">
        <v>140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</row>
    <row r="73" spans="1:11" ht="21.75" customHeight="1" x14ac:dyDescent="0.3">
      <c r="A73" s="27" t="s">
        <v>141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spans="1:11" ht="43.5" customHeight="1" x14ac:dyDescent="0.3">
      <c r="A74" s="45" t="s">
        <v>142</v>
      </c>
      <c r="B74" s="45"/>
      <c r="C74" s="45" t="s">
        <v>143</v>
      </c>
      <c r="D74" s="45"/>
      <c r="E74" s="45"/>
      <c r="F74" s="45"/>
      <c r="G74" s="45"/>
    </row>
    <row r="75" spans="1:11" ht="21.75" customHeight="1" x14ac:dyDescent="0.3">
      <c r="A75" s="39" t="s">
        <v>144</v>
      </c>
      <c r="B75" s="39"/>
      <c r="C75" s="40">
        <v>35000</v>
      </c>
      <c r="D75" s="41"/>
      <c r="E75" s="41"/>
      <c r="F75" s="41"/>
      <c r="G75" s="41"/>
    </row>
    <row r="76" spans="1:11" ht="21.75" customHeight="1" x14ac:dyDescent="0.3">
      <c r="A76" s="42" t="s">
        <v>145</v>
      </c>
      <c r="B76" s="42"/>
      <c r="C76" s="43">
        <v>55000</v>
      </c>
      <c r="D76" s="44"/>
      <c r="E76" s="44"/>
      <c r="F76" s="44"/>
      <c r="G76" s="44"/>
    </row>
    <row r="77" spans="1:11" ht="21.75" customHeight="1" x14ac:dyDescent="0.3">
      <c r="A77" s="39" t="s">
        <v>146</v>
      </c>
      <c r="B77" s="39"/>
      <c r="C77" s="40">
        <v>80000</v>
      </c>
      <c r="D77" s="41"/>
      <c r="E77" s="41"/>
      <c r="F77" s="41"/>
      <c r="G77" s="41"/>
    </row>
    <row r="78" spans="1:11" ht="21.75" customHeight="1" x14ac:dyDescent="0.3">
      <c r="A78" s="42" t="s">
        <v>147</v>
      </c>
      <c r="B78" s="42"/>
      <c r="C78" s="43">
        <v>95000</v>
      </c>
      <c r="D78" s="44"/>
      <c r="E78" s="44"/>
      <c r="F78" s="44"/>
      <c r="G78" s="44"/>
    </row>
    <row r="79" spans="1:11" ht="21.75" customHeight="1" x14ac:dyDescent="0.3">
      <c r="A79" s="39" t="s">
        <v>148</v>
      </c>
      <c r="B79" s="39"/>
      <c r="C79" s="40">
        <v>125000</v>
      </c>
      <c r="D79" s="41"/>
      <c r="E79" s="41"/>
      <c r="F79" s="41"/>
      <c r="G79" s="41"/>
    </row>
    <row r="80" spans="1:11" ht="42" customHeight="1" x14ac:dyDescent="0.3">
      <c r="A80" s="38" t="s">
        <v>149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3" spans="1:11" ht="21.75" customHeight="1" x14ac:dyDescent="0.3">
      <c r="A83" s="27" t="s">
        <v>150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spans="1:11" ht="18.75" customHeight="1" x14ac:dyDescent="0.3">
      <c r="A84" s="32" t="s">
        <v>151</v>
      </c>
      <c r="B84" s="32"/>
      <c r="C84" s="32"/>
      <c r="D84" s="32"/>
      <c r="E84" s="32"/>
      <c r="F84" s="35">
        <v>100</v>
      </c>
      <c r="G84" s="35"/>
    </row>
    <row r="85" spans="1:11" ht="18.75" customHeight="1" x14ac:dyDescent="0.3">
      <c r="A85" s="28" t="s">
        <v>152</v>
      </c>
      <c r="B85" s="28"/>
      <c r="C85" s="28"/>
      <c r="D85" s="28"/>
      <c r="E85" s="28"/>
      <c r="F85" s="36" t="s">
        <v>126</v>
      </c>
      <c r="G85" s="36"/>
    </row>
    <row r="86" spans="1:11" ht="18.75" customHeight="1" x14ac:dyDescent="0.3">
      <c r="A86" s="32" t="s">
        <v>153</v>
      </c>
      <c r="B86" s="32"/>
      <c r="C86" s="32"/>
      <c r="D86" s="32"/>
      <c r="E86" s="32"/>
      <c r="F86" s="37" t="s">
        <v>146</v>
      </c>
      <c r="G86" s="37"/>
    </row>
    <row r="87" spans="1:11" ht="18.75" customHeight="1" x14ac:dyDescent="0.3">
      <c r="A87" s="28" t="s">
        <v>154</v>
      </c>
      <c r="B87" s="28"/>
      <c r="C87" s="28"/>
      <c r="D87" s="28"/>
      <c r="E87" s="28"/>
      <c r="F87" s="31">
        <f>H63</f>
        <v>20800</v>
      </c>
      <c r="G87" s="31"/>
    </row>
    <row r="88" spans="1:11" ht="18.75" customHeight="1" x14ac:dyDescent="0.3">
      <c r="A88" s="32" t="s">
        <v>155</v>
      </c>
      <c r="B88" s="32"/>
      <c r="C88" s="32"/>
      <c r="D88" s="32"/>
      <c r="E88" s="32"/>
      <c r="F88" s="33">
        <f>F84*F87</f>
        <v>2080000</v>
      </c>
      <c r="G88" s="33"/>
    </row>
    <row r="89" spans="1:11" ht="18.75" customHeight="1" x14ac:dyDescent="0.3">
      <c r="A89" s="28" t="s">
        <v>156</v>
      </c>
      <c r="B89" s="28"/>
      <c r="C89" s="28"/>
      <c r="D89" s="28"/>
      <c r="E89" s="28"/>
      <c r="F89" s="34">
        <v>80000</v>
      </c>
      <c r="G89" s="34"/>
    </row>
    <row r="90" spans="1:11" ht="18.75" customHeight="1" x14ac:dyDescent="0.3">
      <c r="A90" s="25" t="s">
        <v>157</v>
      </c>
      <c r="B90" s="25"/>
      <c r="C90" s="25"/>
      <c r="D90" s="25"/>
      <c r="E90" s="25"/>
      <c r="F90" s="26">
        <f>F88+F89</f>
        <v>2160000</v>
      </c>
      <c r="G90" s="26"/>
    </row>
    <row r="91" spans="1:11" ht="18.75" customHeight="1" x14ac:dyDescent="0.3">
      <c r="A91" s="28" t="s">
        <v>158</v>
      </c>
      <c r="B91" s="28"/>
      <c r="C91" s="28"/>
      <c r="D91" s="28"/>
      <c r="E91" s="28"/>
      <c r="F91" s="29">
        <f>F90*0.18</f>
        <v>388800</v>
      </c>
      <c r="G91" s="29"/>
    </row>
    <row r="92" spans="1:11" ht="18.75" customHeight="1" x14ac:dyDescent="0.3">
      <c r="A92" s="25" t="s">
        <v>159</v>
      </c>
      <c r="B92" s="25"/>
      <c r="C92" s="25"/>
      <c r="D92" s="25"/>
      <c r="E92" s="25"/>
      <c r="F92" s="30">
        <f>F90+F91</f>
        <v>2548800</v>
      </c>
      <c r="G92" s="30"/>
    </row>
    <row r="93" spans="1:11" ht="18.75" customHeight="1" x14ac:dyDescent="0.3">
      <c r="A93" s="25" t="s">
        <v>160</v>
      </c>
      <c r="B93" s="25"/>
      <c r="C93" s="25"/>
      <c r="D93" s="25"/>
      <c r="E93" s="25"/>
      <c r="F93" s="26">
        <f>F88</f>
        <v>2080000</v>
      </c>
      <c r="G93" s="26"/>
    </row>
    <row r="95" spans="1:11" ht="21.75" customHeight="1" x14ac:dyDescent="0.3">
      <c r="A95" s="27" t="s">
        <v>161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 spans="1:11" ht="18" customHeight="1" x14ac:dyDescent="0.3">
      <c r="A96" s="23" t="s">
        <v>162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18" customHeight="1" x14ac:dyDescent="0.3">
      <c r="A97" s="22" t="s">
        <v>163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8" customHeight="1" x14ac:dyDescent="0.3">
      <c r="A98" s="23" t="s">
        <v>164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ht="18" customHeight="1" x14ac:dyDescent="0.3">
      <c r="A99" s="22" t="s">
        <v>165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1:11" ht="18" customHeight="1" x14ac:dyDescent="0.3">
      <c r="A100" s="23" t="s">
        <v>166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ht="18" customHeight="1" x14ac:dyDescent="0.3">
      <c r="A101" s="22" t="s">
        <v>167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t="18" customHeight="1" x14ac:dyDescent="0.3">
      <c r="A102" s="23" t="s">
        <v>168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ht="18" customHeight="1" x14ac:dyDescent="0.3">
      <c r="A103" s="22" t="s">
        <v>169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8" customHeight="1" x14ac:dyDescent="0.3">
      <c r="A104" s="23" t="s">
        <v>170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6" spans="1:11" ht="15" customHeight="1" x14ac:dyDescent="0.3">
      <c r="A106" s="24" t="s">
        <v>171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</row>
  </sheetData>
  <mergeCells count="60">
    <mergeCell ref="A1:I1"/>
    <mergeCell ref="A2:I2"/>
    <mergeCell ref="A3:I3"/>
    <mergeCell ref="A5:A11"/>
    <mergeCell ref="A12:A21"/>
    <mergeCell ref="A22:A26"/>
    <mergeCell ref="A27:A37"/>
    <mergeCell ref="A38:A53"/>
    <mergeCell ref="A56:K56"/>
    <mergeCell ref="A57:K57"/>
    <mergeCell ref="A58:K58"/>
    <mergeCell ref="A60:K60"/>
    <mergeCell ref="A70:E70"/>
    <mergeCell ref="A71:K71"/>
    <mergeCell ref="A73:K73"/>
    <mergeCell ref="A74:B74"/>
    <mergeCell ref="C74:G74"/>
    <mergeCell ref="A75:B75"/>
    <mergeCell ref="C75:G75"/>
    <mergeCell ref="A76:B76"/>
    <mergeCell ref="C76:G76"/>
    <mergeCell ref="A83:K83"/>
    <mergeCell ref="A80:K80"/>
    <mergeCell ref="A77:B77"/>
    <mergeCell ref="C77:G77"/>
    <mergeCell ref="A78:B78"/>
    <mergeCell ref="C78:G78"/>
    <mergeCell ref="A79:B79"/>
    <mergeCell ref="C79:G79"/>
    <mergeCell ref="A84:E84"/>
    <mergeCell ref="F84:G84"/>
    <mergeCell ref="A85:E85"/>
    <mergeCell ref="F85:G85"/>
    <mergeCell ref="A86:E86"/>
    <mergeCell ref="F86:G86"/>
    <mergeCell ref="A87:E87"/>
    <mergeCell ref="F87:G87"/>
    <mergeCell ref="A88:E88"/>
    <mergeCell ref="F88:G88"/>
    <mergeCell ref="A89:E89"/>
    <mergeCell ref="F89:G89"/>
    <mergeCell ref="A93:E93"/>
    <mergeCell ref="F93:G93"/>
    <mergeCell ref="A95:K95"/>
    <mergeCell ref="A90:E90"/>
    <mergeCell ref="F90:G90"/>
    <mergeCell ref="A91:E91"/>
    <mergeCell ref="F91:G91"/>
    <mergeCell ref="A92:E92"/>
    <mergeCell ref="F92:G92"/>
    <mergeCell ref="A96:K96"/>
    <mergeCell ref="A97:K97"/>
    <mergeCell ref="A98:K98"/>
    <mergeCell ref="A99:K99"/>
    <mergeCell ref="A100:K100"/>
    <mergeCell ref="A101:K101"/>
    <mergeCell ref="A102:K102"/>
    <mergeCell ref="A103:K103"/>
    <mergeCell ref="A104:K104"/>
    <mergeCell ref="A106:K10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Manali Akabari</cp:lastModifiedBy>
  <cp:revision>0</cp:revision>
  <dcterms:created xsi:type="dcterms:W3CDTF">2026-06-09T05:06:48Z</dcterms:created>
  <dcterms:modified xsi:type="dcterms:W3CDTF">2026-06-29T05:43:30Z</dcterms:modified>
  <dc:language>en-US</dc:language>
</cp:coreProperties>
</file>